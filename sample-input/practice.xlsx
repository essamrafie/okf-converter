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E Master\Finance course\Week3\"/>
    </mc:Choice>
  </mc:AlternateContent>
  <xr:revisionPtr revIDLastSave="0" documentId="13_ncr:1_{953957A4-CF8B-4937-985D-13E3F4DF6886}" xr6:coauthVersionLast="47" xr6:coauthVersionMax="47" xr10:uidLastSave="{00000000-0000-0000-0000-000000000000}"/>
  <bookViews>
    <workbookView xWindow="19095" yWindow="0" windowWidth="19410" windowHeight="15585" activeTab="1" xr2:uid="{2CA06C12-2B39-4B9B-9DB7-739CE19BB9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L4" i="2"/>
  <c r="K4" i="2"/>
  <c r="J4" i="2"/>
  <c r="I4" i="2"/>
  <c r="H4" i="2"/>
  <c r="G4" i="2"/>
  <c r="F4" i="2"/>
  <c r="E7" i="2"/>
  <c r="E8" i="2"/>
  <c r="E4" i="2"/>
  <c r="E5" i="2"/>
  <c r="E6" i="2"/>
  <c r="B40" i="1"/>
  <c r="C40" i="1"/>
  <c r="D40" i="1" s="1"/>
  <c r="B35" i="1"/>
  <c r="B36" i="1"/>
  <c r="C36" i="1"/>
  <c r="D36" i="1" s="1"/>
  <c r="B37" i="1"/>
  <c r="C37" i="1"/>
  <c r="D37" i="1"/>
  <c r="B38" i="1"/>
  <c r="C38" i="1"/>
  <c r="D38" i="1"/>
  <c r="B30" i="1"/>
  <c r="C30" i="1"/>
  <c r="D30" i="1" s="1"/>
  <c r="B31" i="1"/>
  <c r="C31" i="1"/>
  <c r="D31" i="1"/>
  <c r="B33" i="1"/>
  <c r="C33" i="1"/>
  <c r="D33" i="1"/>
  <c r="D29" i="1"/>
  <c r="C29" i="1"/>
  <c r="B29" i="1"/>
  <c r="K16" i="1"/>
  <c r="I18" i="1"/>
  <c r="H18" i="1"/>
  <c r="K18" i="1" s="1"/>
  <c r="G18" i="1"/>
  <c r="I11" i="1"/>
  <c r="H11" i="1"/>
  <c r="J11" i="1" s="1"/>
  <c r="G11" i="1"/>
  <c r="G15" i="1"/>
  <c r="H15" i="1"/>
  <c r="J15" i="1" s="1"/>
  <c r="I15" i="1"/>
  <c r="K15" i="1" s="1"/>
  <c r="G16" i="1"/>
  <c r="H16" i="1"/>
  <c r="J16" i="1" s="1"/>
  <c r="I16" i="1"/>
  <c r="I14" i="1"/>
  <c r="H14" i="1"/>
  <c r="K14" i="1" s="1"/>
  <c r="G14" i="1"/>
  <c r="G8" i="1"/>
  <c r="H8" i="1"/>
  <c r="K8" i="1" s="1"/>
  <c r="I8" i="1"/>
  <c r="J8" i="1"/>
  <c r="G9" i="1"/>
  <c r="H9" i="1"/>
  <c r="K9" i="1" s="1"/>
  <c r="I9" i="1"/>
  <c r="I7" i="1"/>
  <c r="H7" i="1"/>
  <c r="J7" i="1" s="1"/>
  <c r="G7" i="1"/>
  <c r="J18" i="1" l="1"/>
  <c r="K7" i="1"/>
  <c r="K11" i="1"/>
  <c r="J9" i="1"/>
  <c r="J14" i="1"/>
</calcChain>
</file>

<file path=xl/sharedStrings.xml><?xml version="1.0" encoding="utf-8"?>
<sst xmlns="http://schemas.openxmlformats.org/spreadsheetml/2006/main" count="43" uniqueCount="38">
  <si>
    <t>Comparative condensed statements of financial position </t>
  </si>
  <si>
    <r>
      <t>2020</t>
    </r>
    <r>
      <rPr>
        <sz val="12"/>
        <color theme="1"/>
        <rFont val="Times New Roman"/>
        <family val="1"/>
      </rPr>
      <t> </t>
    </r>
  </si>
  <si>
    <r>
      <t>(in EUR)</t>
    </r>
    <r>
      <rPr>
        <sz val="12"/>
        <color theme="1"/>
        <rFont val="Times New Roman"/>
        <family val="1"/>
      </rPr>
      <t> </t>
    </r>
  </si>
  <si>
    <r>
      <t>2019</t>
    </r>
    <r>
      <rPr>
        <sz val="12"/>
        <color theme="1"/>
        <rFont val="Times New Roman"/>
        <family val="1"/>
      </rPr>
      <t> </t>
    </r>
  </si>
  <si>
    <t>Assets </t>
  </si>
  <si>
    <t>Intangibles </t>
  </si>
  <si>
    <t>Property, plant and equipment, net </t>
  </si>
  <si>
    <t>Current assets </t>
  </si>
  <si>
    <r>
      <t>TOTAL ASSETS</t>
    </r>
    <r>
      <rPr>
        <sz val="12"/>
        <color theme="1"/>
        <rFont val="Times New Roman"/>
        <family val="1"/>
      </rPr>
      <t> </t>
    </r>
  </si>
  <si>
    <t>Equity and liabilities </t>
  </si>
  <si>
    <t>Equity </t>
  </si>
  <si>
    <t>Non-current liabilities </t>
  </si>
  <si>
    <t>Current liabilities </t>
  </si>
  <si>
    <r>
      <t>TOTAL EQUITY AND LIABILITIES</t>
    </r>
    <r>
      <rPr>
        <sz val="12"/>
        <color theme="1"/>
        <rFont val="Times New Roman"/>
        <family val="1"/>
      </rPr>
      <t> </t>
    </r>
  </si>
  <si>
    <r>
      <t>Item</t>
    </r>
    <r>
      <rPr>
        <sz val="12"/>
        <color theme="1"/>
        <rFont val="Times New Roman"/>
        <family val="1"/>
      </rPr>
      <t> </t>
    </r>
  </si>
  <si>
    <r>
      <t>Current Year 2020</t>
    </r>
    <r>
      <rPr>
        <sz val="12"/>
        <color theme="1"/>
        <rFont val="Times New Roman"/>
        <family val="1"/>
      </rPr>
      <t> </t>
    </r>
  </si>
  <si>
    <r>
      <t>Base Year 2019</t>
    </r>
    <r>
      <rPr>
        <sz val="12"/>
        <color theme="1"/>
        <rFont val="Times New Roman"/>
        <family val="1"/>
      </rPr>
      <t> </t>
    </r>
  </si>
  <si>
    <r>
      <t>Increase</t>
    </r>
    <r>
      <rPr>
        <sz val="12"/>
        <color theme="1"/>
        <rFont val="Times New Roman"/>
        <family val="1"/>
      </rPr>
      <t> </t>
    </r>
  </si>
  <si>
    <r>
      <t>(Decrease)</t>
    </r>
    <r>
      <rPr>
        <sz val="12"/>
        <color theme="1"/>
        <rFont val="Times New Roman"/>
        <family val="1"/>
      </rPr>
      <t> </t>
    </r>
  </si>
  <si>
    <r>
      <t>Percentage Change from Base Year, 2019</t>
    </r>
    <r>
      <rPr>
        <sz val="12"/>
        <color theme="1"/>
        <rFont val="Times New Roman"/>
        <family val="1"/>
      </rPr>
      <t> </t>
    </r>
  </si>
  <si>
    <r>
      <t>Amount</t>
    </r>
    <r>
      <rPr>
        <sz val="12"/>
        <color theme="1"/>
        <rFont val="Times New Roman"/>
        <family val="1"/>
      </rPr>
      <t> </t>
    </r>
  </si>
  <si>
    <r>
      <t>Percent</t>
    </r>
    <r>
      <rPr>
        <sz val="12"/>
        <color theme="1"/>
        <rFont val="Times New Roman"/>
        <family val="1"/>
      </rPr>
      <t> </t>
    </r>
  </si>
  <si>
    <r>
      <t> </t>
    </r>
    <r>
      <rPr>
        <b/>
        <sz val="12"/>
        <color theme="1"/>
        <rFont val="Times New Roman"/>
        <family val="1"/>
      </rPr>
      <t>Amazon</t>
    </r>
    <r>
      <rPr>
        <sz val="12"/>
        <color theme="1"/>
        <rFont val="Times New Roman"/>
        <family val="1"/>
      </rPr>
      <t> </t>
    </r>
  </si>
  <si>
    <r>
      <t>Year 2020</t>
    </r>
    <r>
      <rPr>
        <sz val="12"/>
        <color theme="1"/>
        <rFont val="Times New Roman"/>
        <family val="1"/>
      </rPr>
      <t> </t>
    </r>
  </si>
  <si>
    <r>
      <t>Year 2021</t>
    </r>
    <r>
      <rPr>
        <sz val="12"/>
        <color theme="1"/>
        <rFont val="Times New Roman"/>
        <family val="1"/>
      </rPr>
      <t> </t>
    </r>
  </si>
  <si>
    <t>Total Assets </t>
  </si>
  <si>
    <t>Revenues </t>
  </si>
  <si>
    <t>Net Income / Loss </t>
  </si>
  <si>
    <t>Cash Flows from Operating Activities </t>
  </si>
  <si>
    <t>asset to revenue</t>
  </si>
  <si>
    <t>debt to equity 2020</t>
  </si>
  <si>
    <t>debt to equity 2021</t>
  </si>
  <si>
    <t>profit Margin 2020</t>
  </si>
  <si>
    <t>profit Margin 2021</t>
  </si>
  <si>
    <t>asset Turn over ratio 2020</t>
  </si>
  <si>
    <t>asset Turn over ratio 2021</t>
  </si>
  <si>
    <t>Quality of income ratio 2020</t>
  </si>
  <si>
    <t>Quality of income ratio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</si>
</sst>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164" formatCode="[$€-462]\ #,##0.00_-"/>
    <numFmt numFmtId="165" formatCode="_-[$€-462]\ * #,##0.00_-;_-[$€-462]\ * #,##0.00\-;_-[$€-462]\ * &quot;-&quot;??_-;_-@_-"/>
    <numFmt numFmtId="166" formatCode="0.00_);\(0.00\)"/>
    <numFmt numFmtId="167" formatCode="0.0%"/>
    <numFmt numFmtId="174" formatCode="&quot;$&quot;#,##0.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left" vertical="center" wrapText="1" indent="5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 indent="5"/>
    </xf>
    <xf numFmtId="0" fontId="2" fillId="0" borderId="11" xfId="0" applyFont="1" applyBorder="1" applyAlignment="1">
      <alignment vertical="center" wrapText="1"/>
    </xf>
    <xf numFmtId="2" fontId="1" fillId="0" borderId="3" xfId="0" applyNumberFormat="1" applyFont="1" applyBorder="1" applyAlignment="1">
      <alignment horizontal="right" vertical="center" wrapText="1"/>
    </xf>
    <xf numFmtId="2" fontId="1" fillId="0" borderId="10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164" fontId="1" fillId="0" borderId="3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 wrapText="1"/>
    </xf>
    <xf numFmtId="164" fontId="0" fillId="0" borderId="2" xfId="0" applyNumberFormat="1" applyBorder="1" applyAlignment="1">
      <alignment vertical="top" wrapText="1"/>
    </xf>
    <xf numFmtId="164" fontId="0" fillId="0" borderId="8" xfId="0" applyNumberFormat="1" applyBorder="1" applyAlignment="1">
      <alignment vertical="top" wrapText="1"/>
    </xf>
    <xf numFmtId="164" fontId="2" fillId="0" borderId="2" xfId="0" applyNumberFormat="1" applyFont="1" applyBorder="1" applyAlignment="1">
      <alignment horizontal="right" vertical="center" wrapText="1"/>
    </xf>
    <xf numFmtId="164" fontId="2" fillId="0" borderId="8" xfId="0" applyNumberFormat="1" applyFont="1" applyBorder="1" applyAlignment="1">
      <alignment horizontal="right" vertical="center" wrapText="1"/>
    </xf>
    <xf numFmtId="164" fontId="2" fillId="0" borderId="12" xfId="0" applyNumberFormat="1" applyFont="1" applyBorder="1" applyAlignment="1">
      <alignment horizontal="right" vertical="center" wrapText="1"/>
    </xf>
    <xf numFmtId="164" fontId="2" fillId="0" borderId="13" xfId="0" applyNumberFormat="1" applyFont="1" applyBorder="1" applyAlignment="1">
      <alignment horizontal="right" vertical="center" wrapText="1"/>
    </xf>
    <xf numFmtId="165" fontId="1" fillId="0" borderId="10" xfId="0" applyNumberFormat="1" applyFont="1" applyBorder="1" applyAlignment="1">
      <alignment horizontal="right" vertical="center" wrapText="1"/>
    </xf>
    <xf numFmtId="7" fontId="1" fillId="0" borderId="10" xfId="0" applyNumberFormat="1" applyFont="1" applyBorder="1" applyAlignment="1">
      <alignment horizontal="right" vertical="center" wrapText="1"/>
    </xf>
    <xf numFmtId="7" fontId="0" fillId="0" borderId="0" xfId="0" applyNumberFormat="1"/>
    <xf numFmtId="166" fontId="1" fillId="0" borderId="10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7" fontId="1" fillId="0" borderId="13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174" fontId="1" fillId="0" borderId="20" xfId="0" applyNumberFormat="1" applyFont="1" applyBorder="1" applyAlignment="1">
      <alignment vertical="center" wrapText="1"/>
    </xf>
    <xf numFmtId="10" fontId="0" fillId="0" borderId="0" xfId="0" applyNumberFormat="1"/>
    <xf numFmtId="2" fontId="0" fillId="0" borderId="0" xfId="0" applyNumberFormat="1"/>
    <xf numFmtId="0" fontId="2" fillId="0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3947-54E6-4FF6-96FB-32BB6FFB2FF7}">
  <dimension ref="B3:K40"/>
  <sheetViews>
    <sheetView topLeftCell="A14" workbookViewId="0">
      <selection activeCell="G29" sqref="G29"/>
    </sheetView>
  </sheetViews>
  <sheetFormatPr defaultRowHeight="15" x14ac:dyDescent="0.25"/>
  <cols>
    <col min="2" max="2" width="36.5703125" bestFit="1" customWidth="1"/>
    <col min="3" max="4" width="13.7109375" bestFit="1" customWidth="1"/>
    <col min="5" max="5" width="8.140625" bestFit="1" customWidth="1"/>
    <col min="6" max="6" width="21.42578125" bestFit="1" customWidth="1"/>
    <col min="8" max="9" width="14.28515625" bestFit="1" customWidth="1"/>
    <col min="10" max="10" width="13.5703125" bestFit="1" customWidth="1"/>
    <col min="11" max="11" width="21.42578125" bestFit="1" customWidth="1"/>
  </cols>
  <sheetData>
    <row r="3" spans="2:11" ht="15.75" x14ac:dyDescent="0.25">
      <c r="B3" s="37" t="s">
        <v>0</v>
      </c>
      <c r="C3" s="3" t="s">
        <v>1</v>
      </c>
      <c r="D3" s="4" t="s">
        <v>3</v>
      </c>
      <c r="G3" s="39" t="s">
        <v>14</v>
      </c>
      <c r="H3" s="41" t="s">
        <v>15</v>
      </c>
      <c r="I3" s="41" t="s">
        <v>16</v>
      </c>
      <c r="J3" s="3" t="s">
        <v>17</v>
      </c>
      <c r="K3" s="35" t="s">
        <v>19</v>
      </c>
    </row>
    <row r="4" spans="2:11" ht="16.5" thickBot="1" x14ac:dyDescent="0.3">
      <c r="B4" s="38"/>
      <c r="C4" s="1" t="s">
        <v>2</v>
      </c>
      <c r="D4" s="5" t="s">
        <v>2</v>
      </c>
      <c r="G4" s="40"/>
      <c r="H4" s="42"/>
      <c r="I4" s="42"/>
      <c r="J4" s="1" t="s">
        <v>18</v>
      </c>
      <c r="K4" s="36"/>
    </row>
    <row r="5" spans="2:11" ht="16.5" thickBot="1" x14ac:dyDescent="0.3">
      <c r="B5" s="6"/>
      <c r="C5" s="2"/>
      <c r="D5" s="7"/>
      <c r="G5" s="9" t="s">
        <v>4</v>
      </c>
      <c r="H5" s="15"/>
      <c r="I5" s="15"/>
      <c r="J5" s="15"/>
      <c r="K5" s="16"/>
    </row>
    <row r="6" spans="2:11" ht="15.75" x14ac:dyDescent="0.25">
      <c r="B6" s="6" t="s">
        <v>4</v>
      </c>
      <c r="C6" s="13"/>
      <c r="D6" s="14"/>
    </row>
    <row r="7" spans="2:11" ht="31.5" x14ac:dyDescent="0.25">
      <c r="B7" s="8" t="s">
        <v>5</v>
      </c>
      <c r="C7" s="18">
        <v>24000</v>
      </c>
      <c r="D7" s="19">
        <v>40000</v>
      </c>
      <c r="G7" s="17" t="str">
        <f t="shared" ref="G7:I9" si="0">B7</f>
        <v>Intangibles </v>
      </c>
      <c r="H7" s="26">
        <f t="shared" si="0"/>
        <v>24000</v>
      </c>
      <c r="I7" s="26">
        <f t="shared" si="0"/>
        <v>40000</v>
      </c>
      <c r="J7" s="27">
        <f>H7-I7</f>
        <v>-16000</v>
      </c>
      <c r="K7" s="29">
        <f>(H7-I7)/I7*100</f>
        <v>-40</v>
      </c>
    </row>
    <row r="8" spans="2:11" ht="63" x14ac:dyDescent="0.25">
      <c r="B8" s="8" t="s">
        <v>6</v>
      </c>
      <c r="C8" s="18">
        <v>100000</v>
      </c>
      <c r="D8" s="19">
        <v>92000</v>
      </c>
      <c r="G8" s="17" t="str">
        <f t="shared" si="0"/>
        <v>Property, plant and equipment, net </v>
      </c>
      <c r="H8" s="26">
        <f t="shared" si="0"/>
        <v>100000</v>
      </c>
      <c r="I8" s="26">
        <f t="shared" si="0"/>
        <v>92000</v>
      </c>
      <c r="J8" s="27">
        <f>H8-I8</f>
        <v>8000</v>
      </c>
      <c r="K8" s="29">
        <f t="shared" ref="K8:K18" si="1">(H8-I8)/I8*100</f>
        <v>8.695652173913043</v>
      </c>
    </row>
    <row r="9" spans="2:11" ht="31.5" x14ac:dyDescent="0.25">
      <c r="B9" s="8" t="s">
        <v>7</v>
      </c>
      <c r="C9" s="18">
        <v>76000</v>
      </c>
      <c r="D9" s="19">
        <v>82000</v>
      </c>
      <c r="G9" s="17" t="str">
        <f t="shared" si="0"/>
        <v>Current assets </v>
      </c>
      <c r="H9" s="26">
        <f t="shared" si="0"/>
        <v>76000</v>
      </c>
      <c r="I9" s="26">
        <f t="shared" si="0"/>
        <v>82000</v>
      </c>
      <c r="J9" s="27">
        <f>H9-I9</f>
        <v>-6000</v>
      </c>
      <c r="K9" s="29">
        <f t="shared" si="1"/>
        <v>-7.3170731707317067</v>
      </c>
    </row>
    <row r="10" spans="2:11" ht="16.5" thickBot="1" x14ac:dyDescent="0.3">
      <c r="B10" s="9"/>
      <c r="C10" s="20"/>
      <c r="D10" s="21"/>
      <c r="J10" s="28"/>
      <c r="K10" s="29"/>
    </row>
    <row r="11" spans="2:11" ht="48" thickBot="1" x14ac:dyDescent="0.3">
      <c r="B11" s="10" t="s">
        <v>8</v>
      </c>
      <c r="C11" s="22">
        <v>200000</v>
      </c>
      <c r="D11" s="23">
        <v>214000</v>
      </c>
      <c r="G11" s="17" t="str">
        <f>B11</f>
        <v>TOTAL ASSETS </v>
      </c>
      <c r="H11" s="26">
        <f>C11</f>
        <v>200000</v>
      </c>
      <c r="I11" s="26">
        <f>D11</f>
        <v>214000</v>
      </c>
      <c r="J11" s="27">
        <f>H11-I11</f>
        <v>-14000</v>
      </c>
      <c r="K11" s="29">
        <f t="shared" si="1"/>
        <v>-6.5420560747663545</v>
      </c>
    </row>
    <row r="12" spans="2:11" ht="15.75" x14ac:dyDescent="0.25">
      <c r="B12" s="6"/>
      <c r="C12" s="18"/>
      <c r="D12" s="19"/>
      <c r="J12" s="28"/>
      <c r="K12" s="29"/>
    </row>
    <row r="13" spans="2:11" ht="15.75" x14ac:dyDescent="0.25">
      <c r="B13" s="6" t="s">
        <v>9</v>
      </c>
      <c r="C13" s="18"/>
      <c r="D13" s="19"/>
      <c r="J13" s="28"/>
      <c r="K13" s="29"/>
    </row>
    <row r="14" spans="2:11" ht="15.75" x14ac:dyDescent="0.25">
      <c r="B14" s="8" t="s">
        <v>10</v>
      </c>
      <c r="C14" s="18">
        <v>20000</v>
      </c>
      <c r="D14" s="19">
        <v>16000</v>
      </c>
      <c r="G14" s="17" t="str">
        <f>B14</f>
        <v>Equity </v>
      </c>
      <c r="H14" s="26">
        <f>C14</f>
        <v>20000</v>
      </c>
      <c r="I14" s="26">
        <f>D14</f>
        <v>16000</v>
      </c>
      <c r="J14" s="27">
        <f>H14-I14</f>
        <v>4000</v>
      </c>
      <c r="K14" s="29">
        <f t="shared" si="1"/>
        <v>25</v>
      </c>
    </row>
    <row r="15" spans="2:11" ht="47.25" x14ac:dyDescent="0.25">
      <c r="B15" s="8" t="s">
        <v>11</v>
      </c>
      <c r="C15" s="18">
        <v>140000</v>
      </c>
      <c r="D15" s="19">
        <v>150000</v>
      </c>
      <c r="G15" s="17" t="str">
        <f t="shared" ref="G15:G16" si="2">B15</f>
        <v>Non-current liabilities </v>
      </c>
      <c r="H15" s="26">
        <f t="shared" ref="H15:H16" si="3">C15</f>
        <v>140000</v>
      </c>
      <c r="I15" s="26">
        <f t="shared" ref="I15:I16" si="4">D15</f>
        <v>150000</v>
      </c>
      <c r="J15" s="27">
        <f t="shared" ref="J15:J16" si="5">H15-I15</f>
        <v>-10000</v>
      </c>
      <c r="K15" s="29">
        <f t="shared" si="1"/>
        <v>-6.666666666666667</v>
      </c>
    </row>
    <row r="16" spans="2:11" ht="31.5" x14ac:dyDescent="0.25">
      <c r="B16" s="8" t="s">
        <v>12</v>
      </c>
      <c r="C16" s="18">
        <v>40000</v>
      </c>
      <c r="D16" s="19">
        <v>48000</v>
      </c>
      <c r="G16" s="17" t="str">
        <f t="shared" si="2"/>
        <v>Current liabilities </v>
      </c>
      <c r="H16" s="26">
        <f t="shared" si="3"/>
        <v>40000</v>
      </c>
      <c r="I16" s="26">
        <f t="shared" si="4"/>
        <v>48000</v>
      </c>
      <c r="J16" s="27">
        <f t="shared" si="5"/>
        <v>-8000</v>
      </c>
      <c r="K16" s="29">
        <f t="shared" si="1"/>
        <v>-16.666666666666664</v>
      </c>
    </row>
    <row r="17" spans="2:11" ht="16.5" thickBot="1" x14ac:dyDescent="0.3">
      <c r="B17" s="11"/>
      <c r="C17" s="20"/>
      <c r="D17" s="21"/>
      <c r="J17" s="28"/>
      <c r="K17" s="29"/>
    </row>
    <row r="18" spans="2:11" ht="78.75" x14ac:dyDescent="0.25">
      <c r="B18" s="12" t="s">
        <v>13</v>
      </c>
      <c r="C18" s="24">
        <v>200000</v>
      </c>
      <c r="D18" s="25">
        <v>214000</v>
      </c>
      <c r="G18" s="17" t="str">
        <f>B18</f>
        <v>TOTAL EQUITY AND LIABILITIES </v>
      </c>
      <c r="H18" s="26">
        <f>C18</f>
        <v>200000</v>
      </c>
      <c r="I18" s="26">
        <f>D18</f>
        <v>214000</v>
      </c>
      <c r="J18" s="27">
        <f>H18-I18</f>
        <v>-14000</v>
      </c>
      <c r="K18" s="29">
        <f t="shared" si="1"/>
        <v>-6.5420560747663545</v>
      </c>
    </row>
    <row r="27" spans="2:11" ht="16.5" thickBot="1" x14ac:dyDescent="0.3">
      <c r="B27" s="30" t="s">
        <v>14</v>
      </c>
      <c r="C27" s="31" t="s">
        <v>20</v>
      </c>
      <c r="D27" s="32" t="s">
        <v>21</v>
      </c>
    </row>
    <row r="28" spans="2:11" ht="16.5" thickBot="1" x14ac:dyDescent="0.3">
      <c r="B28" s="9" t="s">
        <v>4</v>
      </c>
      <c r="C28" s="15"/>
      <c r="D28" s="16"/>
    </row>
    <row r="29" spans="2:11" ht="15.75" x14ac:dyDescent="0.25">
      <c r="B29" s="17" t="str">
        <f>B7</f>
        <v>Intangibles </v>
      </c>
      <c r="C29" s="33">
        <f>C7</f>
        <v>24000</v>
      </c>
      <c r="D29" s="34">
        <f>C29/$C$11</f>
        <v>0.12</v>
      </c>
    </row>
    <row r="30" spans="2:11" ht="15.75" x14ac:dyDescent="0.25">
      <c r="B30" s="17" t="str">
        <f t="shared" ref="B30:C30" si="6">B8</f>
        <v>Property, plant and equipment, net </v>
      </c>
      <c r="C30" s="33">
        <f t="shared" si="6"/>
        <v>100000</v>
      </c>
      <c r="D30" s="34">
        <f t="shared" ref="D30:D38" si="7">C30/$C$11</f>
        <v>0.5</v>
      </c>
    </row>
    <row r="31" spans="2:11" ht="15.75" x14ac:dyDescent="0.25">
      <c r="B31" s="17" t="str">
        <f t="shared" ref="B31:C31" si="8">B9</f>
        <v>Current assets </v>
      </c>
      <c r="C31" s="33">
        <f t="shared" si="8"/>
        <v>76000</v>
      </c>
      <c r="D31" s="34">
        <f t="shared" si="7"/>
        <v>0.38</v>
      </c>
    </row>
    <row r="32" spans="2:11" ht="15.75" x14ac:dyDescent="0.25">
      <c r="B32" s="17"/>
      <c r="C32" s="33"/>
      <c r="D32" s="34"/>
    </row>
    <row r="33" spans="2:4" ht="15.75" x14ac:dyDescent="0.25">
      <c r="B33" s="17" t="str">
        <f t="shared" ref="B33:C33" si="9">B11</f>
        <v>TOTAL ASSETS </v>
      </c>
      <c r="C33" s="33">
        <f t="shared" si="9"/>
        <v>200000</v>
      </c>
      <c r="D33" s="34">
        <f t="shared" si="7"/>
        <v>1</v>
      </c>
    </row>
    <row r="34" spans="2:4" ht="15.75" x14ac:dyDescent="0.25">
      <c r="B34" s="17"/>
      <c r="C34" s="33"/>
      <c r="D34" s="34"/>
    </row>
    <row r="35" spans="2:4" ht="15.75" x14ac:dyDescent="0.25">
      <c r="B35" s="17" t="str">
        <f t="shared" ref="B35" si="10">B13</f>
        <v>Equity and liabilities </v>
      </c>
      <c r="C35" s="33"/>
      <c r="D35" s="34"/>
    </row>
    <row r="36" spans="2:4" ht="15.75" x14ac:dyDescent="0.25">
      <c r="B36" s="17" t="str">
        <f t="shared" ref="B36:C36" si="11">B14</f>
        <v>Equity </v>
      </c>
      <c r="C36" s="33">
        <f t="shared" si="11"/>
        <v>20000</v>
      </c>
      <c r="D36" s="34">
        <f t="shared" si="7"/>
        <v>0.1</v>
      </c>
    </row>
    <row r="37" spans="2:4" ht="15.75" x14ac:dyDescent="0.25">
      <c r="B37" s="17" t="str">
        <f t="shared" ref="B37:C37" si="12">B15</f>
        <v>Non-current liabilities </v>
      </c>
      <c r="C37" s="33">
        <f t="shared" si="12"/>
        <v>140000</v>
      </c>
      <c r="D37" s="34">
        <f t="shared" si="7"/>
        <v>0.7</v>
      </c>
    </row>
    <row r="38" spans="2:4" ht="15.75" x14ac:dyDescent="0.25">
      <c r="B38" s="17" t="str">
        <f t="shared" ref="B38:C38" si="13">B16</f>
        <v>Current liabilities </v>
      </c>
      <c r="C38" s="33">
        <f t="shared" si="13"/>
        <v>40000</v>
      </c>
      <c r="D38" s="34">
        <f t="shared" si="7"/>
        <v>0.2</v>
      </c>
    </row>
    <row r="39" spans="2:4" ht="15.75" x14ac:dyDescent="0.25">
      <c r="B39" s="17"/>
      <c r="C39" s="33"/>
      <c r="D39" s="34"/>
    </row>
    <row r="40" spans="2:4" ht="15.75" x14ac:dyDescent="0.25">
      <c r="B40" s="17" t="str">
        <f>B18</f>
        <v>TOTAL EQUITY AND LIABILITIES </v>
      </c>
      <c r="C40" s="33">
        <f>C18</f>
        <v>200000</v>
      </c>
      <c r="D40" s="34">
        <f>C40/$C$11</f>
        <v>1</v>
      </c>
    </row>
  </sheetData>
  <mergeCells count="5">
    <mergeCell ref="K3:K4"/>
    <mergeCell ref="B3:B4"/>
    <mergeCell ref="G3:G4"/>
    <mergeCell ref="H3:H4"/>
    <mergeCell ref="I3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9E56-8D09-4CF4-942F-0A0AC0A29BEC}">
  <dimension ref="B3:M8"/>
  <sheetViews>
    <sheetView tabSelected="1" topLeftCell="B1" workbookViewId="0">
      <selection activeCell="L4" sqref="L4:M4"/>
    </sheetView>
  </sheetViews>
  <sheetFormatPr defaultRowHeight="15" x14ac:dyDescent="0.25"/>
  <cols>
    <col min="2" max="4" width="21.28515625" customWidth="1"/>
    <col min="5" max="5" width="19.42578125" customWidth="1"/>
    <col min="6" max="6" width="11.5703125" customWidth="1"/>
    <col min="7" max="7" width="8" customWidth="1"/>
    <col min="8" max="8" width="10.42578125" customWidth="1"/>
  </cols>
  <sheetData>
    <row r="3" spans="2:13" ht="79.5" thickBot="1" x14ac:dyDescent="0.3">
      <c r="B3" s="43" t="s">
        <v>22</v>
      </c>
      <c r="C3" s="44" t="s">
        <v>23</v>
      </c>
      <c r="D3" s="45" t="s">
        <v>24</v>
      </c>
      <c r="E3" s="45" t="s">
        <v>29</v>
      </c>
      <c r="F3" s="45" t="s">
        <v>30</v>
      </c>
      <c r="G3" s="45" t="s">
        <v>31</v>
      </c>
      <c r="H3" s="45" t="s">
        <v>32</v>
      </c>
      <c r="I3" s="45" t="s">
        <v>33</v>
      </c>
      <c r="J3" s="45" t="s">
        <v>34</v>
      </c>
      <c r="K3" s="45" t="s">
        <v>35</v>
      </c>
      <c r="L3" s="51" t="s">
        <v>36</v>
      </c>
      <c r="M3" s="51" t="s">
        <v>37</v>
      </c>
    </row>
    <row r="4" spans="2:13" ht="16.5" thickBot="1" x14ac:dyDescent="0.3">
      <c r="B4" s="46" t="s">
        <v>25</v>
      </c>
      <c r="C4" s="48">
        <v>321195</v>
      </c>
      <c r="D4" s="48">
        <v>420549</v>
      </c>
      <c r="E4" s="49">
        <f t="shared" ref="E4:E8" si="0">(D4-C4)/C4</f>
        <v>0.30932611030682294</v>
      </c>
      <c r="F4" s="50">
        <f>(C4-C5)/C5</f>
        <v>2.4387713588283155</v>
      </c>
      <c r="G4" s="50">
        <f>(D4-D5)/D5</f>
        <v>2.0420557705522802</v>
      </c>
      <c r="H4" s="49">
        <f>(C7/C6)</f>
        <v>5.5252496995316841E-2</v>
      </c>
      <c r="I4" s="49">
        <f>(D7/D6)</f>
        <v>7.1014128755145567E-2</v>
      </c>
      <c r="J4">
        <f>C6/C4</f>
        <v>1.2019614253023865</v>
      </c>
      <c r="K4">
        <f>D6/D4</f>
        <v>1.1171635172120253</v>
      </c>
      <c r="L4">
        <f>C8/C7</f>
        <v>3.0970887440813839</v>
      </c>
      <c r="M4">
        <f>D8/D7</f>
        <v>1.3885325500539503</v>
      </c>
    </row>
    <row r="5" spans="2:13" ht="16.5" thickBot="1" x14ac:dyDescent="0.3">
      <c r="B5" s="46" t="s">
        <v>10</v>
      </c>
      <c r="C5" s="48">
        <v>93404</v>
      </c>
      <c r="D5" s="48">
        <v>138245</v>
      </c>
      <c r="E5" s="49">
        <f t="shared" si="0"/>
        <v>0.48007579975161663</v>
      </c>
      <c r="F5" s="49"/>
      <c r="G5" s="49"/>
    </row>
    <row r="6" spans="2:13" ht="16.5" thickBot="1" x14ac:dyDescent="0.3">
      <c r="B6" s="46" t="s">
        <v>26</v>
      </c>
      <c r="C6" s="48">
        <v>386064</v>
      </c>
      <c r="D6" s="48">
        <v>469822</v>
      </c>
      <c r="E6" s="49">
        <f>(D6-C6)/C6</f>
        <v>0.21695366571345684</v>
      </c>
      <c r="F6" s="49"/>
      <c r="G6" s="49"/>
    </row>
    <row r="7" spans="2:13" ht="16.5" thickBot="1" x14ac:dyDescent="0.3">
      <c r="B7" s="46" t="s">
        <v>27</v>
      </c>
      <c r="C7" s="48">
        <v>21331</v>
      </c>
      <c r="D7" s="48">
        <v>33364</v>
      </c>
      <c r="E7" s="49">
        <f t="shared" si="0"/>
        <v>0.56410857437532225</v>
      </c>
      <c r="F7" s="49"/>
      <c r="G7" s="49"/>
    </row>
    <row r="8" spans="2:13" ht="32.25" thickBot="1" x14ac:dyDescent="0.3">
      <c r="B8" s="47" t="s">
        <v>28</v>
      </c>
      <c r="C8" s="48">
        <v>66064</v>
      </c>
      <c r="D8" s="48">
        <v>46327</v>
      </c>
      <c r="E8" s="49">
        <f t="shared" si="0"/>
        <v>-0.29875575199806248</v>
      </c>
      <c r="F8" s="49"/>
      <c r="G8" s="49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Rafie</dc:creator>
  <cp:lastModifiedBy>Essam Rafie</cp:lastModifiedBy>
  <dcterms:created xsi:type="dcterms:W3CDTF">2024-11-16T06:28:12Z</dcterms:created>
  <dcterms:modified xsi:type="dcterms:W3CDTF">2024-11-16T07:50:23Z</dcterms:modified>
</cp:coreProperties>
</file>